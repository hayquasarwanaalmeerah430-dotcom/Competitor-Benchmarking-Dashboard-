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" sheetId="1" state="visible" r:id="rId3"/>
    <sheet name="Engagemen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<sst xmlns="http://schemas.openxmlformats.org/spreadsheetml/2006/main" count="54" uniqueCount="42">
  <si>
    <t xml:space="preserve">Competitor Pricing &amp; Offerings</t>
  </si>
  <si>
    <t xml:space="preserve">FICTIONAL sample data for illustration only. Blue = typed inputs, black = formulas.</t>
  </si>
  <si>
    <t xml:space="preserve">Competitor</t>
  </si>
  <si>
    <t xml:space="preserve">Program fee (PKR)</t>
  </si>
  <si>
    <t xml:space="preserve">Certificate fee (PKR)</t>
  </si>
  <si>
    <t xml:space="preserve">Total cost (PKR)</t>
  </si>
  <si>
    <t xml:space="preserve">LOR</t>
  </si>
  <si>
    <t xml:space="preserve">Stipend</t>
  </si>
  <si>
    <t xml:space="preserve">Domains</t>
  </si>
  <si>
    <t xml:space="preserve">Duration (weeks)</t>
  </si>
  <si>
    <t xml:space="preserve">Tasks</t>
  </si>
  <si>
    <t xml:space="preserve">Live sessions</t>
  </si>
  <si>
    <t xml:space="preserve">SkillBridge Interns</t>
  </si>
  <si>
    <t xml:space="preserve">Yes</t>
  </si>
  <si>
    <t xml:space="preserve">No</t>
  </si>
  <si>
    <t xml:space="preserve">CodeNest Virtual</t>
  </si>
  <si>
    <t xml:space="preserve">TechPulse Academy</t>
  </si>
  <si>
    <t xml:space="preserve">Yes (top performers)</t>
  </si>
  <si>
    <t xml:space="preserve">Total cost = program fee + certificate fee.</t>
  </si>
  <si>
    <t xml:space="preserve">Competitor Engagement</t>
  </si>
  <si>
    <t xml:space="preserve">LinkedIn followers</t>
  </si>
  <si>
    <t xml:space="preserve">Instagram followers</t>
  </si>
  <si>
    <t xml:space="preserve">Total followers</t>
  </si>
  <si>
    <t xml:space="preserve">Avg. posts/week</t>
  </si>
  <si>
    <t xml:space="preserve">Rating (out of 5)</t>
  </si>
  <si>
    <t xml:space="preserve">Reviews</t>
  </si>
  <si>
    <t xml:space="preserve">Benchmark Summary</t>
  </si>
  <si>
    <t xml:space="preserve">All values are formulas that update when you edit the Pricing and Engagement sheets.</t>
  </si>
  <si>
    <t xml:space="preserve">Metric</t>
  </si>
  <si>
    <t xml:space="preserve">Value</t>
  </si>
  <si>
    <t xml:space="preserve">Average total cost (PKR)</t>
  </si>
  <si>
    <t xml:space="preserve">Lowest total cost (PKR)</t>
  </si>
  <si>
    <t xml:space="preserve">Highest total cost (PKR)</t>
  </si>
  <si>
    <t xml:space="preserve">Average domains offered</t>
  </si>
  <si>
    <t xml:space="preserve">Average duration (weeks)</t>
  </si>
  <si>
    <t xml:space="preserve">Average tasks</t>
  </si>
  <si>
    <t xml:space="preserve">Average total followers</t>
  </si>
  <si>
    <t xml:space="preserve">Most followers</t>
  </si>
  <si>
    <t xml:space="preserve">Average rating (out of 5)</t>
  </si>
  <si>
    <t xml:space="preserve">Highest rating</t>
  </si>
  <si>
    <t xml:space="preserve">Competitors with free program fee</t>
  </si>
  <si>
    <t xml:space="preserve">Competitors offering a LOR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</si>
</sst>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#,##0"/>
    <numFmt numFmtId="167" formatCode="0.0"/>
    <numFmt numFmtId="168" formatCode="0.00"/>
    <numFmt numFmtId="16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cost by competitor (PKR)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Pricing!D4</c:f>
              <c:strCache>
                <c:ptCount val="1"/>
                <c:pt idx="0">
                  <c:v>Total cost (PKR)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Pricing!$A$5:$A$7</c:f>
              <c:strCache>
                <c:ptCount val="3"/>
                <c:pt idx="0">
                  <c:v>SkillBridge Interns</c:v>
                </c:pt>
                <c:pt idx="1">
                  <c:v>CodeNest Virtual</c:v>
                </c:pt>
                <c:pt idx="2">
                  <c:v>TechPulse Academy</c:v>
                </c:pt>
              </c:strCache>
            </c:strRef>
          </c:cat>
          <c:val>
            <c:numRef>
              <c:f>Pricing!$D$5:$D$7</c:f>
              <c:numCache>
                <c:formatCode>#,##0;\(#,##0\);\-</c:formatCode>
                <c:ptCount val="3"/>
                <c:pt idx="0">
                  <c:v>1500</c:v>
                </c:pt>
                <c:pt idx="1">
                  <c:v>3000</c:v>
                </c:pt>
                <c:pt idx="2">
                  <c:v>5500</c:v>
                </c:pt>
              </c:numCache>
            </c:numRef>
          </c:val>
        </c:ser>
        <c:gapWidth val="150"/>
        <c:overlap val="0"/>
        <c:axId val="51707646"/>
        <c:axId val="47640943"/>
      </c:barChart>
      <c:catAx>
        <c:axId val="51707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40943"/>
        <c:crosses val="autoZero"/>
        <c:auto val="1"/>
        <c:lblAlgn val="ctr"/>
        <c:lblOffset val="100"/>
        <c:noMultiLvlLbl val="0"/>
      </c:catAx>
      <c:valAx>
        <c:axId val="476409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07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followers by competitor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Engagement!D4</c:f>
              <c:strCache>
                <c:ptCount val="1"/>
                <c:pt idx="0">
                  <c:v>Total followers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Engagement!$A$5:$A$7</c:f>
              <c:strCache>
                <c:ptCount val="3"/>
                <c:pt idx="0">
                  <c:v>SkillBridge Interns</c:v>
                </c:pt>
                <c:pt idx="1">
                  <c:v>CodeNest Virtual</c:v>
                </c:pt>
                <c:pt idx="2">
                  <c:v>TechPulse Academy</c:v>
                </c:pt>
              </c:strCache>
            </c:strRef>
          </c:cat>
          <c:val>
            <c:numRef>
              <c:f>Engagement!$D$5:$D$7</c:f>
              <c:numCache>
                <c:formatCode>#,##0</c:formatCode>
                <c:ptCount val="3"/>
                <c:pt idx="0">
                  <c:v>27700</c:v>
                </c:pt>
                <c:pt idx="1">
                  <c:v>20200</c:v>
                </c:pt>
                <c:pt idx="2">
                  <c:v>40000</c:v>
                </c:pt>
              </c:numCache>
            </c:numRef>
          </c:val>
        </c:ser>
        <c:gapWidth val="150"/>
        <c:overlap val="0"/>
        <c:axId val="52171441"/>
        <c:axId val="32464241"/>
      </c:barChart>
      <c:catAx>
        <c:axId val="521714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64241"/>
        <c:crosses val="autoZero"/>
        <c:auto val="1"/>
        <c:lblAlgn val="ctr"/>
        <c:lblOffset val="100"/>
        <c:noMultiLvlLbl val="0"/>
      </c:catAx>
      <c:valAx>
        <c:axId val="32464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714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160920</xdr:rowOff>
    </xdr:from>
    <xdr:to>
      <xdr:col>3</xdr:col>
      <xdr:colOff>1248480</xdr:colOff>
      <xdr:row>24</xdr:row>
      <xdr:rowOff>182880</xdr:rowOff>
    </xdr:to>
    <xdr:graphicFrame>
      <xdr:nvGraphicFramePr>
        <xdr:cNvPr id="0" name="Chart 1"/>
        <xdr:cNvGraphicFramePr/>
      </xdr:nvGraphicFramePr>
      <xdr:xfrm>
        <a:off x="0" y="2114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160920</xdr:rowOff>
    </xdr:from>
    <xdr:to>
      <xdr:col>4</xdr:col>
      <xdr:colOff>191160</xdr:colOff>
      <xdr:row>23</xdr:row>
      <xdr:rowOff>182880</xdr:rowOff>
    </xdr:to>
    <xdr:graphicFrame>
      <xdr:nvGraphicFramePr>
        <xdr:cNvPr id="1" name="Chart 1"/>
        <xdr:cNvGraphicFramePr/>
      </xdr:nvGraphicFramePr>
      <xdr:xfrm>
        <a:off x="0" y="1924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n">
        <v>0</v>
      </c>
      <c r="C5" s="5" t="n">
        <v>1500</v>
      </c>
      <c r="D5" s="6" t="n">
        <f aca="false">B5+C5</f>
        <v>1500</v>
      </c>
      <c r="E5" s="7" t="s">
        <v>13</v>
      </c>
      <c r="F5" s="7" t="s">
        <v>14</v>
      </c>
      <c r="G5" s="7" t="n">
        <v>8</v>
      </c>
      <c r="H5" s="7" t="n">
        <v>4</v>
      </c>
      <c r="I5" s="7" t="n">
        <v>5</v>
      </c>
      <c r="J5" s="7" t="s">
        <v>14</v>
      </c>
    </row>
    <row r="6" customFormat="false" ht="15" hidden="false" customHeight="false" outlineLevel="0" collapsed="false">
      <c r="A6" s="4" t="s">
        <v>15</v>
      </c>
      <c r="B6" s="5" t="n">
        <v>3000</v>
      </c>
      <c r="C6" s="5" t="n">
        <v>0</v>
      </c>
      <c r="D6" s="6" t="n">
        <f aca="false">B6+C6</f>
        <v>3000</v>
      </c>
      <c r="E6" s="7" t="s">
        <v>13</v>
      </c>
      <c r="F6" s="7" t="s">
        <v>14</v>
      </c>
      <c r="G6" s="7" t="n">
        <v>6</v>
      </c>
      <c r="H6" s="7" t="n">
        <v>6</v>
      </c>
      <c r="I6" s="7" t="n">
        <v>8</v>
      </c>
      <c r="J6" s="7" t="s">
        <v>13</v>
      </c>
    </row>
    <row r="7" customFormat="false" ht="15" hidden="false" customHeight="false" outlineLevel="0" collapsed="false">
      <c r="A7" s="4" t="s">
        <v>16</v>
      </c>
      <c r="B7" s="5" t="n">
        <v>5500</v>
      </c>
      <c r="C7" s="5" t="n">
        <v>0</v>
      </c>
      <c r="D7" s="6" t="n">
        <f aca="false">B7+C7</f>
        <v>5500</v>
      </c>
      <c r="E7" s="7" t="s">
        <v>13</v>
      </c>
      <c r="F7" s="7" t="s">
        <v>17</v>
      </c>
      <c r="G7" s="7" t="n">
        <v>10</v>
      </c>
      <c r="H7" s="7" t="n">
        <v>8</v>
      </c>
      <c r="I7" s="7" t="n">
        <v>10</v>
      </c>
      <c r="J7" s="7" t="s">
        <v>13</v>
      </c>
    </row>
    <row r="9" customFormat="false" ht="15" hidden="false" customHeight="false" outlineLevel="0" collapsed="false">
      <c r="A9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5" min="4" style="0" width="16"/>
    <col collapsed="false" customWidth="true" hidden="false" outlineLevel="0" max="6" min="6" style="0" width="17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customFormat="false" ht="15" hidden="false" customHeight="false" outlineLevel="0" collapsed="false">
      <c r="A5" s="4" t="s">
        <v>12</v>
      </c>
      <c r="B5" s="8" t="n">
        <v>18500</v>
      </c>
      <c r="C5" s="8" t="n">
        <v>9200</v>
      </c>
      <c r="D5" s="9" t="n">
        <f aca="false">B5+C5</f>
        <v>27700</v>
      </c>
      <c r="E5" s="7" t="n">
        <v>5</v>
      </c>
      <c r="F5" s="10" t="n">
        <v>4.2</v>
      </c>
      <c r="G5" s="8" t="n">
        <v>310</v>
      </c>
    </row>
    <row r="6" customFormat="false" ht="15" hidden="false" customHeight="false" outlineLevel="0" collapsed="false">
      <c r="A6" s="4" t="s">
        <v>15</v>
      </c>
      <c r="B6" s="8" t="n">
        <v>7800</v>
      </c>
      <c r="C6" s="8" t="n">
        <v>12400</v>
      </c>
      <c r="D6" s="9" t="n">
        <f aca="false">B6+C6</f>
        <v>20200</v>
      </c>
      <c r="E6" s="7" t="n">
        <v>3</v>
      </c>
      <c r="F6" s="10" t="n">
        <v>4.5</v>
      </c>
      <c r="G6" s="8" t="n">
        <v>180</v>
      </c>
    </row>
    <row r="7" customFormat="false" ht="15" hidden="false" customHeight="false" outlineLevel="0" collapsed="false">
      <c r="A7" s="4" t="s">
        <v>16</v>
      </c>
      <c r="B7" s="8" t="n">
        <v>25000</v>
      </c>
      <c r="C7" s="8" t="n">
        <v>15000</v>
      </c>
      <c r="D7" s="9" t="n">
        <f aca="false">B7+C7</f>
        <v>40000</v>
      </c>
      <c r="E7" s="7" t="n">
        <v>7</v>
      </c>
      <c r="F7" s="10" t="n">
        <v>4.6</v>
      </c>
      <c r="G7" s="8" t="n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2</v>
      </c>
    </row>
    <row r="5" customFormat="false" ht="15" hidden="false" customHeight="false" outlineLevel="0" collapsed="false">
      <c r="A5" s="4" t="s">
        <v>30</v>
      </c>
      <c r="B5" s="9" t="n">
        <f aca="false">AVERAGE(Pricing!D5:D7)</f>
        <v>3333.33333333333</v>
      </c>
      <c r="C5" s="4"/>
    </row>
    <row r="6" customFormat="false" ht="15" hidden="false" customHeight="false" outlineLevel="0" collapsed="false">
      <c r="A6" s="4" t="s">
        <v>31</v>
      </c>
      <c r="B6" s="6" t="n">
        <f aca="false">MIN(Pricing!D5:D7)</f>
        <v>1500</v>
      </c>
      <c r="C6" s="4" t="str">
        <f aca="false">INDEX(Pricing!A5:A7,MATCH(MIN(Pricing!D5:D7),Pricing!D5:D7,0))</f>
        <v>SkillBridge Interns</v>
      </c>
    </row>
    <row r="7" customFormat="false" ht="15" hidden="false" customHeight="false" outlineLevel="0" collapsed="false">
      <c r="A7" s="4" t="s">
        <v>32</v>
      </c>
      <c r="B7" s="9" t="n">
        <f aca="false">MAX(Pricing!D5:D7)</f>
        <v>5500</v>
      </c>
      <c r="C7" s="4" t="str">
        <f aca="false">INDEX(Pricing!A5:A7,MATCH(MAX(Pricing!D5:D7),Pricing!D5:D7,0))</f>
        <v>TechPulse Academy</v>
      </c>
    </row>
    <row r="8" customFormat="false" ht="15" hidden="false" customHeight="false" outlineLevel="0" collapsed="false">
      <c r="A8" s="4" t="s">
        <v>33</v>
      </c>
      <c r="B8" s="11" t="n">
        <f aca="false">AVERAGE(Pricing!G5:G7)</f>
        <v>8</v>
      </c>
      <c r="C8" s="4"/>
    </row>
    <row r="9" customFormat="false" ht="15" hidden="false" customHeight="false" outlineLevel="0" collapsed="false">
      <c r="A9" s="4" t="s">
        <v>34</v>
      </c>
      <c r="B9" s="11" t="n">
        <f aca="false">AVERAGE(Pricing!H5:H7)</f>
        <v>6</v>
      </c>
      <c r="C9" s="4"/>
    </row>
    <row r="10" customFormat="false" ht="15" hidden="false" customHeight="false" outlineLevel="0" collapsed="false">
      <c r="A10" s="4" t="s">
        <v>35</v>
      </c>
      <c r="B10" s="11" t="n">
        <f aca="false">AVERAGE(Pricing!I5:I7)</f>
        <v>7.66666666666667</v>
      </c>
      <c r="C10" s="4"/>
    </row>
    <row r="11" customFormat="false" ht="15" hidden="false" customHeight="false" outlineLevel="0" collapsed="false">
      <c r="A11" s="4" t="s">
        <v>36</v>
      </c>
      <c r="B11" s="9" t="n">
        <f aca="false">AVERAGE(Engagement!D5:D7)</f>
        <v>29300</v>
      </c>
      <c r="C11" s="4"/>
    </row>
    <row r="12" customFormat="false" ht="15" hidden="false" customHeight="false" outlineLevel="0" collapsed="false">
      <c r="A12" s="4" t="s">
        <v>37</v>
      </c>
      <c r="B12" s="9" t="n">
        <f aca="false">MAX(Engagement!D5:D7)</f>
        <v>40000</v>
      </c>
      <c r="C12" s="4" t="str">
        <f aca="false">INDEX(Engagement!A5:A7,MATCH(MAX(Engagement!D5:D7),Engagement!D5:D7,0))</f>
        <v>TechPulse Academy</v>
      </c>
    </row>
    <row r="13" customFormat="false" ht="15" hidden="false" customHeight="false" outlineLevel="0" collapsed="false">
      <c r="A13" s="4" t="s">
        <v>38</v>
      </c>
      <c r="B13" s="12" t="n">
        <f aca="false">AVERAGE(Engagement!F5:F7)</f>
        <v>4.43333333333333</v>
      </c>
      <c r="C13" s="4"/>
    </row>
    <row r="14" customFormat="false" ht="15" hidden="false" customHeight="false" outlineLevel="0" collapsed="false">
      <c r="A14" s="4" t="s">
        <v>39</v>
      </c>
      <c r="B14" s="11" t="n">
        <f aca="false">MAX(Engagement!F5:F7)</f>
        <v>4.6</v>
      </c>
      <c r="C14" s="4" t="str">
        <f aca="false">INDEX(Engagement!A5:A7,MATCH(MAX(Engagement!F5:F7),Engagement!F5:F7,0))</f>
        <v>TechPulse Academy</v>
      </c>
    </row>
    <row r="15" customFormat="false" ht="15" hidden="false" customHeight="false" outlineLevel="0" collapsed="false">
      <c r="A15" s="4" t="s">
        <v>40</v>
      </c>
      <c r="B15" s="13" t="n">
        <f aca="false">COUNTIF(Pricing!B5:B7,0)</f>
        <v>1</v>
      </c>
      <c r="C15" s="4"/>
    </row>
    <row r="16" customFormat="false" ht="15" hidden="false" customHeight="false" outlineLevel="0" collapsed="false">
      <c r="A16" s="4" t="s">
        <v>41</v>
      </c>
      <c r="B16" s="13" t="n">
        <f aca="false">COUNTIF(Pricing!E5:E7,"Yes")</f>
        <v>3</v>
      </c>
      <c r="C1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2026-10-16T15:54:27Z</dcterms:created>
  <dc:creator>openpyxl</dc:creator>
  <dc:description/>
  <dc:language>en-US</dc:language>
  <cp:lastModifiedBy/>
  <dcterms:modified xsi:type="dcterms:W3CDTF">2026-10-16T15:54:29Z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